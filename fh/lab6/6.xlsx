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d135d53a7b0a002d/Рабочий стол/4sem/fh/lab6/"/>
    </mc:Choice>
  </mc:AlternateContent>
  <xr:revisionPtr revIDLastSave="3" documentId="8_{F2C53D06-607C-4E07-983E-022DDBCDDE91}" xr6:coauthVersionLast="47" xr6:coauthVersionMax="47" xr10:uidLastSave="{399129A4-D07E-4165-A3D1-A2C5CB728355}"/>
  <bookViews>
    <workbookView xWindow="10718" yWindow="0" windowWidth="10965" windowHeight="135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U3" i="1"/>
  <c r="E11" i="1" l="1"/>
  <c r="C12" i="1"/>
  <c r="C11" i="1"/>
  <c r="C10" i="1"/>
  <c r="T3" i="1"/>
  <c r="S3" i="1"/>
  <c r="C16" i="1"/>
  <c r="D16" i="1"/>
  <c r="E16" i="1"/>
  <c r="F16" i="1"/>
  <c r="C15" i="1"/>
  <c r="F10" i="1" l="1"/>
  <c r="F11" i="1"/>
  <c r="F12" i="1"/>
  <c r="C13" i="1"/>
  <c r="D14" i="1"/>
  <c r="F15" i="1"/>
  <c r="D11" i="1" l="1"/>
  <c r="D10" i="1"/>
  <c r="E15" i="1"/>
  <c r="C14" i="1"/>
  <c r="D13" i="1"/>
  <c r="E14" i="1"/>
  <c r="E12" i="1"/>
  <c r="F14" i="1"/>
  <c r="F13" i="1"/>
  <c r="D12" i="1"/>
  <c r="D15" i="1"/>
  <c r="E13" i="1"/>
  <c r="E10" i="1"/>
</calcChain>
</file>

<file path=xl/sharedStrings.xml><?xml version="1.0" encoding="utf-8"?>
<sst xmlns="http://schemas.openxmlformats.org/spreadsheetml/2006/main" count="14" uniqueCount="14">
  <si>
    <t>T</t>
  </si>
  <si>
    <t>R</t>
  </si>
  <si>
    <t>0 порядок</t>
  </si>
  <si>
    <t>1 порядок</t>
  </si>
  <si>
    <t>2 Порядок</t>
  </si>
  <si>
    <t>3 порядок</t>
  </si>
  <si>
    <t>x</t>
  </si>
  <si>
    <t>xв</t>
  </si>
  <si>
    <r>
      <t>k, [м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/моль * с]</t>
    </r>
  </si>
  <si>
    <t>t1, [с]</t>
  </si>
  <si>
    <t>t\1/2, [с]</t>
  </si>
  <si>
    <t>Ca [моль/л]</t>
  </si>
  <si>
    <t>Ca\t, [Mоль/л]</t>
  </si>
  <si>
    <t>t,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</si>
</sst>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Анаморфоза</a:t>
            </a:r>
            <a:r>
              <a:rPr lang="ru-RU" baseline="0"/>
              <a:t> 0 порядка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15058236485925E-2"/>
                  <c:y val="-0.14917405938581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Sheet1!$I$3:$I$9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900</c:v>
                </c:pt>
                <c:pt idx="3">
                  <c:v>1380</c:v>
                </c:pt>
                <c:pt idx="4">
                  <c:v>2100</c:v>
                </c:pt>
                <c:pt idx="5">
                  <c:v>3300</c:v>
                </c:pt>
                <c:pt idx="6">
                  <c:v>7200</c:v>
                </c:pt>
              </c:numCache>
            </c:numRef>
          </c:xVal>
          <c:yVal>
            <c:numRef>
              <c:f>Sheet1!$C$10:$C$16</c:f>
              <c:numCache>
                <c:formatCode>General</c:formatCode>
                <c:ptCount val="7"/>
                <c:pt idx="0">
                  <c:v>0</c:v>
                </c:pt>
                <c:pt idx="1">
                  <c:v>7.1999999999999998E-3</c:v>
                </c:pt>
                <c:pt idx="2">
                  <c:v>1.234E-2</c:v>
                </c:pt>
                <c:pt idx="3">
                  <c:v>1.46E-2</c:v>
                </c:pt>
                <c:pt idx="4">
                  <c:v>1.5780000000000002E-2</c:v>
                </c:pt>
                <c:pt idx="5">
                  <c:v>1.711E-2</c:v>
                </c:pt>
                <c:pt idx="6">
                  <c:v>1.8620000000000001E-2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8E-426E-907F-21B68724C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47736"/>
        <c:axId val="555448064"/>
      </c:scatterChart>
      <c:valAx>
        <c:axId val="55544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48064"/>
        <c:crosses val="autoZero"/>
        <c:crossBetween val="midCat"/>
      </c:valAx>
      <c:valAx>
        <c:axId val="5554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4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Анаморфоза</a:t>
            </a:r>
            <a:r>
              <a:rPr lang="ru-RU" baseline="0"/>
              <a:t> 1 порядка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Анаморфоза 1 порядка</c:v>
          </c:tx>
          <c:xVal>
            <c:numRef>
              <c:f>Sheet1!$I$3:$I$8</c:f>
              <c:numCache>
                <c:formatCode>General</c:formatCode>
                <c:ptCount val="6"/>
                <c:pt idx="0">
                  <c:v>0</c:v>
                </c:pt>
                <c:pt idx="1">
                  <c:v>300</c:v>
                </c:pt>
                <c:pt idx="2">
                  <c:v>900</c:v>
                </c:pt>
                <c:pt idx="3">
                  <c:v>1380</c:v>
                </c:pt>
                <c:pt idx="4">
                  <c:v>2100</c:v>
                </c:pt>
                <c:pt idx="5">
                  <c:v>3300</c:v>
                </c:pt>
              </c:numCache>
            </c:numRef>
          </c:xVal>
          <c:yVal>
            <c:numRef>
              <c:f>Sheet1!$D$10:$D$15</c:f>
              <c:numCache>
                <c:formatCode>General</c:formatCode>
                <c:ptCount val="6"/>
                <c:pt idx="0">
                  <c:v>0</c:v>
                </c:pt>
                <c:pt idx="1">
                  <c:v>0.44628710262841986</c:v>
                </c:pt>
                <c:pt idx="2">
                  <c:v>0.95972028980149071</c:v>
                </c:pt>
                <c:pt idx="3">
                  <c:v>1.3093333199837622</c:v>
                </c:pt>
                <c:pt idx="4">
                  <c:v>1.5558971455060706</c:v>
                </c:pt>
                <c:pt idx="5">
                  <c:v>1.9344757714296503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590-4E1E-9D66-3935BE4A2558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99912577727516E-2"/>
                  <c:y val="-0.206296302991688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Sheet1!$I$3:$I$9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900</c:v>
                </c:pt>
                <c:pt idx="3">
                  <c:v>1380</c:v>
                </c:pt>
                <c:pt idx="4">
                  <c:v>2100</c:v>
                </c:pt>
                <c:pt idx="5">
                  <c:v>3300</c:v>
                </c:pt>
                <c:pt idx="6">
                  <c:v>7200</c:v>
                </c:pt>
              </c:numCache>
            </c:numRef>
          </c:xVal>
          <c:yVal>
            <c:numRef>
              <c:f>Sheet1!$D$10:$D$16</c:f>
              <c:numCache>
                <c:formatCode>General</c:formatCode>
                <c:ptCount val="7"/>
                <c:pt idx="0">
                  <c:v>0</c:v>
                </c:pt>
                <c:pt idx="1">
                  <c:v>0.44628710262841986</c:v>
                </c:pt>
                <c:pt idx="2">
                  <c:v>0.95972028980149071</c:v>
                </c:pt>
                <c:pt idx="3">
                  <c:v>1.3093333199837622</c:v>
                </c:pt>
                <c:pt idx="4">
                  <c:v>1.5558971455060706</c:v>
                </c:pt>
                <c:pt idx="5">
                  <c:v>1.9344757714296503</c:v>
                </c:pt>
                <c:pt idx="6">
                  <c:v>2.6736487743848776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590-4E1E-9D66-3935BE4A2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29296"/>
        <c:axId val="509933232"/>
      </c:scatterChart>
      <c:valAx>
        <c:axId val="50992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933232"/>
        <c:crosses val="autoZero"/>
        <c:crossBetween val="midCat"/>
      </c:valAx>
      <c:valAx>
        <c:axId val="5099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9292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Анаморфоза</a:t>
            </a:r>
            <a:r>
              <a:rPr lang="ru-RU" baseline="0"/>
              <a:t> 2 порядка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361317844186997E-2"/>
                  <c:y val="-0.168470543937989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Sheet1!$I$3:$I$9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900</c:v>
                </c:pt>
                <c:pt idx="3">
                  <c:v>1380</c:v>
                </c:pt>
                <c:pt idx="4">
                  <c:v>2100</c:v>
                </c:pt>
                <c:pt idx="5">
                  <c:v>3300</c:v>
                </c:pt>
                <c:pt idx="6">
                  <c:v>7200</c:v>
                </c:pt>
              </c:numCache>
            </c:numRef>
          </c:xVal>
          <c:yVal>
            <c:numRef>
              <c:f>Sheet1!$E$10:$E$16</c:f>
              <c:numCache>
                <c:formatCode>General</c:formatCode>
                <c:ptCount val="7"/>
                <c:pt idx="0">
                  <c:v>0</c:v>
                </c:pt>
                <c:pt idx="1">
                  <c:v>28.125</c:v>
                </c:pt>
                <c:pt idx="2">
                  <c:v>80.548302872062663</c:v>
                </c:pt>
                <c:pt idx="3">
                  <c:v>135.18518518518516</c:v>
                </c:pt>
                <c:pt idx="4">
                  <c:v>186.96682464454977</c:v>
                </c:pt>
                <c:pt idx="5">
                  <c:v>296.02076124567469</c:v>
                </c:pt>
                <c:pt idx="6">
                  <c:v>674.63768115942037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50-4CEB-B317-6BFFEDF6A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985464"/>
        <c:axId val="601973984"/>
      </c:scatterChart>
      <c:valAx>
        <c:axId val="60198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973984"/>
        <c:crosses val="autoZero"/>
        <c:crossBetween val="midCat"/>
      </c:valAx>
      <c:valAx>
        <c:axId val="6019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98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Анаморфоза</a:t>
            </a:r>
            <a:r>
              <a:rPr lang="ru-RU" baseline="0"/>
              <a:t> 3 порядка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068178160343722E-2"/>
                  <c:y val="-0.23674041633466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Sheet1!$I$3:$I$9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900</c:v>
                </c:pt>
                <c:pt idx="3">
                  <c:v>1380</c:v>
                </c:pt>
                <c:pt idx="4">
                  <c:v>2100</c:v>
                </c:pt>
                <c:pt idx="5">
                  <c:v>3300</c:v>
                </c:pt>
                <c:pt idx="6">
                  <c:v>7200</c:v>
                </c:pt>
              </c:numCache>
            </c:numRef>
          </c:xVal>
          <c:yVal>
            <c:numRef>
              <c:f>Sheet1!$F$10:$F$16</c:f>
              <c:numCache>
                <c:formatCode>General</c:formatCode>
                <c:ptCount val="7"/>
                <c:pt idx="0">
                  <c:v>0</c:v>
                </c:pt>
                <c:pt idx="1">
                  <c:v>1801.7578125</c:v>
                </c:pt>
                <c:pt idx="2">
                  <c:v>7271.4296913879025</c:v>
                </c:pt>
                <c:pt idx="3">
                  <c:v>15896.776406035664</c:v>
                </c:pt>
                <c:pt idx="4">
                  <c:v>26826.637991060405</c:v>
                </c:pt>
                <c:pt idx="5">
                  <c:v>58615.183606518112</c:v>
                </c:pt>
                <c:pt idx="6">
                  <c:v>261299.88447805087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CE-424E-9E0E-2159CA466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679776"/>
        <c:axId val="598680104"/>
      </c:scatterChart>
      <c:valAx>
        <c:axId val="59867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680104"/>
        <c:crosses val="autoZero"/>
        <c:crossBetween val="midCat"/>
      </c:valAx>
      <c:valAx>
        <c:axId val="59868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67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587228</xdr:colOff>
      <xdr:row>9</xdr:row>
      <xdr:rowOff>170728</xdr:rowOff>
    </xdr:from>
    <xdr:to>
      <xdr:col>14</xdr:col>
      <xdr:colOff>642312</xdr:colOff>
      <xdr:row>24</xdr:row>
      <xdr:rowOff>39053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EE6B15C-C559-4C90-AA54-0C0E56339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614050</xdr:colOff>
      <xdr:row>24</xdr:row>
      <xdr:rowOff>45486</xdr:rowOff>
    </xdr:from>
    <xdr:to>
      <xdr:col>14</xdr:col>
      <xdr:colOff>635820</xdr:colOff>
      <xdr:row>38</xdr:row>
      <xdr:rowOff>163485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3307596-D0DD-40CD-A1B0-D46645F7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643927</xdr:colOff>
      <xdr:row>10</xdr:row>
      <xdr:rowOff>855</xdr:rowOff>
    </xdr:from>
    <xdr:to>
      <xdr:col>21</xdr:col>
      <xdr:colOff>476562</xdr:colOff>
      <xdr:row>24</xdr:row>
      <xdr:rowOff>44398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470297A-3EC8-4C9A-B490-A21028A98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640874</xdr:colOff>
      <xdr:row>24</xdr:row>
      <xdr:rowOff>69183</xdr:rowOff>
    </xdr:from>
    <xdr:to>
      <xdr:col>21</xdr:col>
      <xdr:colOff>484392</xdr:colOff>
      <xdr:row>39</xdr:row>
      <xdr:rowOff>14757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783466E-EB1E-45C1-86AB-868C8F3DD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16"/>
  <sheetViews>
    <sheetView tabSelected="1" topLeftCell="L1" zoomScaleNormal="100" workbookViewId="0">
      <selection activeCell="U3" sqref="U3"/>
    </sheetView>
  </sheetViews>
  <sheetFormatPr defaultRowHeight="14.25" x14ac:dyDescent="0.45"/>
  <cols>
    <col min="3" max="3" width="12" bestFit="1" customWidth="1"/>
    <col min="4" max="4" width="9.6640625" bestFit="1" customWidth="1"/>
    <col min="5" max="5" width="9.46484375" customWidth="1"/>
    <col min="6" max="6" width="9.6640625" bestFit="1" customWidth="1"/>
    <col min="12" max="12" width="13.33203125" bestFit="1" customWidth="1"/>
    <col min="18" max="18" width="14.6640625" bestFit="1" customWidth="1"/>
    <col min="19" max="19" width="13.796875" bestFit="1" customWidth="1"/>
    <col min="21" max="21" width="13.33203125" bestFit="1" customWidth="1"/>
    <col min="25" max="25" width="12.33203125" bestFit="1" customWidth="1"/>
    <col min="26" max="26" width="10" bestFit="1" customWidth="1"/>
    <col min="27" max="27" width="12.19921875" bestFit="1" customWidth="1"/>
  </cols>
  <sheetData>
    <row r="1" spans="3:28" ht="14.65" thickBot="1" x14ac:dyDescent="0.5">
      <c r="C1" s="7"/>
      <c r="D1" s="7"/>
      <c r="E1" s="7"/>
      <c r="F1" s="7"/>
    </row>
    <row r="2" spans="3:28" ht="16.149999999999999" thickBot="1" x14ac:dyDescent="0.5">
      <c r="I2" s="3" t="s">
        <v>13</v>
      </c>
      <c r="J2" s="4"/>
      <c r="K2" s="4"/>
      <c r="L2" s="5" t="s">
        <v>11</v>
      </c>
      <c r="N2" s="3" t="s">
        <v>0</v>
      </c>
      <c r="O2" s="5" t="s">
        <v>1</v>
      </c>
      <c r="Q2" s="1" t="s">
        <v>9</v>
      </c>
      <c r="R2" s="1" t="s">
        <v>8</v>
      </c>
      <c r="S2" s="1" t="s">
        <v>12</v>
      </c>
      <c r="T2" s="1" t="s">
        <v>10</v>
      </c>
      <c r="U2" s="1" t="s">
        <v>6</v>
      </c>
      <c r="V2" s="1" t="s">
        <v>7</v>
      </c>
      <c r="Y2" s="7"/>
      <c r="Z2" s="7"/>
      <c r="AA2" s="7"/>
      <c r="AB2" s="7"/>
    </row>
    <row r="3" spans="3:28" x14ac:dyDescent="0.45">
      <c r="E3" s="6"/>
      <c r="F3" s="6"/>
      <c r="I3">
        <v>0</v>
      </c>
      <c r="J3" s="2"/>
      <c r="K3" s="2"/>
      <c r="L3">
        <v>0.02</v>
      </c>
      <c r="N3" s="2">
        <v>293.7</v>
      </c>
      <c r="O3" s="2">
        <v>8.3140000000000001</v>
      </c>
      <c r="Q3" s="1">
        <v>8300</v>
      </c>
      <c r="R3" s="1">
        <v>9.3299999999999994E-2</v>
      </c>
      <c r="S3" s="1">
        <f>L3/(1 + L3*R3*Q3)</f>
        <v>1.2130181103603877E-3</v>
      </c>
      <c r="T3" s="1">
        <f>1/(R3*L3)</f>
        <v>535.9056806002144</v>
      </c>
      <c r="U3" s="1">
        <f>(Q3*R3*L3^2)/(1+Q3*R3*L3)</f>
        <v>1.8786981889639613E-2</v>
      </c>
      <c r="V3" s="1">
        <f>U3/L3</f>
        <v>0.93934909448198067</v>
      </c>
    </row>
    <row r="4" spans="3:28" x14ac:dyDescent="0.45">
      <c r="I4">
        <v>300</v>
      </c>
      <c r="J4" s="1"/>
      <c r="K4" s="2"/>
      <c r="L4">
        <v>1.2800000000000001E-2</v>
      </c>
    </row>
    <row r="5" spans="3:28" x14ac:dyDescent="0.45">
      <c r="I5">
        <v>900</v>
      </c>
      <c r="J5" s="1"/>
      <c r="K5" s="2"/>
      <c r="L5">
        <v>7.6600000000000001E-3</v>
      </c>
    </row>
    <row r="6" spans="3:28" x14ac:dyDescent="0.45">
      <c r="I6">
        <v>1380</v>
      </c>
      <c r="J6" s="1"/>
      <c r="K6" s="2"/>
      <c r="L6">
        <v>5.4000000000000003E-3</v>
      </c>
    </row>
    <row r="7" spans="3:28" x14ac:dyDescent="0.45">
      <c r="I7">
        <v>2100</v>
      </c>
      <c r="J7" s="1"/>
      <c r="K7" s="2"/>
      <c r="L7">
        <v>4.2199999999999998E-3</v>
      </c>
    </row>
    <row r="8" spans="3:28" ht="14.65" thickBot="1" x14ac:dyDescent="0.5">
      <c r="I8">
        <v>3300</v>
      </c>
      <c r="J8" s="1"/>
      <c r="K8" s="2"/>
      <c r="L8">
        <v>2.8900000000000002E-3</v>
      </c>
    </row>
    <row r="9" spans="3:28" ht="14.65" thickBot="1" x14ac:dyDescent="0.5">
      <c r="C9" s="3" t="s">
        <v>2</v>
      </c>
      <c r="D9" s="4" t="s">
        <v>3</v>
      </c>
      <c r="E9" s="4" t="s">
        <v>4</v>
      </c>
      <c r="F9" s="5" t="s">
        <v>5</v>
      </c>
      <c r="I9">
        <v>7200</v>
      </c>
      <c r="J9" s="2"/>
      <c r="K9" s="2"/>
      <c r="L9">
        <v>1.3799999999999999E-3</v>
      </c>
      <c r="Y9" s="8"/>
      <c r="Z9" s="7"/>
      <c r="AA9" s="7"/>
      <c r="AB9" s="7"/>
    </row>
    <row r="10" spans="3:28" x14ac:dyDescent="0.45">
      <c r="C10" s="2">
        <f>$L$3-L3</f>
        <v>0</v>
      </c>
      <c r="D10" s="2">
        <f>LN($L$3)-LN(L3)</f>
        <v>0</v>
      </c>
      <c r="E10" s="2">
        <f>1/L3-1/$L$3</f>
        <v>0</v>
      </c>
      <c r="F10" s="2">
        <f>(1/(L3^2)-1/($L$3^2))/2</f>
        <v>0</v>
      </c>
    </row>
    <row r="11" spans="3:28" x14ac:dyDescent="0.45">
      <c r="C11" s="1">
        <f>$L$3-L4</f>
        <v>7.1999999999999998E-3</v>
      </c>
      <c r="D11" s="2">
        <f t="shared" ref="D11:D15" si="0">LN($L$3)-LN(L4)</f>
        <v>0.44628710262841986</v>
      </c>
      <c r="E11" s="2">
        <f>1/L4-1/$L$3</f>
        <v>28.125</v>
      </c>
      <c r="F11" s="2">
        <f t="shared" ref="F11:F15" si="1">(1/(L4^2)-1/($L$3^2))/2</f>
        <v>1801.7578125</v>
      </c>
    </row>
    <row r="12" spans="3:28" x14ac:dyDescent="0.45">
      <c r="C12" s="1">
        <f>$L$3-L5</f>
        <v>1.234E-2</v>
      </c>
      <c r="D12" s="2">
        <f t="shared" si="0"/>
        <v>0.95972028980149071</v>
      </c>
      <c r="E12" s="2">
        <f t="shared" ref="E11:E15" si="2">1/L5-1/$L$3</f>
        <v>80.548302872062663</v>
      </c>
      <c r="F12" s="2">
        <f t="shared" si="1"/>
        <v>7271.4296913879025</v>
      </c>
    </row>
    <row r="13" spans="3:28" x14ac:dyDescent="0.45">
      <c r="C13" s="1">
        <f t="shared" ref="C13:C14" si="3">$L$3-L6</f>
        <v>1.46E-2</v>
      </c>
      <c r="D13" s="2">
        <f t="shared" si="0"/>
        <v>1.3093333199837622</v>
      </c>
      <c r="E13" s="2">
        <f t="shared" si="2"/>
        <v>135.18518518518516</v>
      </c>
      <c r="F13" s="2">
        <f t="shared" si="1"/>
        <v>15896.776406035664</v>
      </c>
    </row>
    <row r="14" spans="3:28" x14ac:dyDescent="0.45">
      <c r="C14" s="1">
        <f t="shared" si="3"/>
        <v>1.5780000000000002E-2</v>
      </c>
      <c r="D14" s="2">
        <f t="shared" si="0"/>
        <v>1.5558971455060706</v>
      </c>
      <c r="E14" s="2">
        <f t="shared" si="2"/>
        <v>186.96682464454977</v>
      </c>
      <c r="F14" s="2">
        <f t="shared" si="1"/>
        <v>26826.637991060405</v>
      </c>
    </row>
    <row r="15" spans="3:28" x14ac:dyDescent="0.45">
      <c r="C15" s="1">
        <f>$L$3-L8</f>
        <v>1.711E-2</v>
      </c>
      <c r="D15" s="2">
        <f t="shared" si="0"/>
        <v>1.9344757714296503</v>
      </c>
      <c r="E15" s="2">
        <f t="shared" si="2"/>
        <v>296.02076124567469</v>
      </c>
      <c r="F15" s="2">
        <f t="shared" si="1"/>
        <v>58615.183606518112</v>
      </c>
    </row>
    <row r="16" spans="3:28" x14ac:dyDescent="0.45">
      <c r="C16" s="1">
        <f>$L$3-L9</f>
        <v>1.8620000000000001E-2</v>
      </c>
      <c r="D16" s="2">
        <f t="shared" ref="D16" si="4">LN($L$3)-LN(L9)</f>
        <v>2.6736487743848776</v>
      </c>
      <c r="E16" s="2">
        <f t="shared" ref="E16" si="5">1/L9-1/$L$3</f>
        <v>674.63768115942037</v>
      </c>
      <c r="F16" s="2">
        <f t="shared" ref="F16" si="6">(1/(L9^2)-1/($L$3^2))/2</f>
        <v>261299.88447805087</v>
      </c>
    </row>
  </sheetData>
  <mergeCells count="3">
    <mergeCell ref="C1:F1"/>
    <mergeCell ref="Y2:AB2"/>
    <mergeCell ref="Y9:AB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zefs0</dc:creator>
  <cp:lastModifiedBy>Viktoriya Mosolova</cp:lastModifiedBy>
  <dcterms:created xsi:type="dcterms:W3CDTF">2015-06-05T18:17:20Z</dcterms:created>
  <dcterms:modified xsi:type="dcterms:W3CDTF">2023-05-01T05:52:12Z</dcterms:modified>
</cp:coreProperties>
</file>